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adrane/Brickly/docs/"/>
    </mc:Choice>
  </mc:AlternateContent>
  <xr:revisionPtr revIDLastSave="0" documentId="8_{8D270B27-5640-5D47-9101-836D23281581}" xr6:coauthVersionLast="47" xr6:coauthVersionMax="47" xr10:uidLastSave="{00000000-0000-0000-0000-000000000000}"/>
  <bookViews>
    <workbookView xWindow="4320" yWindow="600" windowWidth="24480" windowHeight="16180" xr2:uid="{B996092F-0856-6647-86D4-CEA9CD7458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5" i="1" s="1"/>
  <c r="B27" i="1" s="1"/>
  <c r="B20" i="1"/>
  <c r="B17" i="1"/>
  <c r="D5" i="1"/>
  <c r="D6" i="1" s="1"/>
  <c r="E6" i="1" s="1"/>
  <c r="B3" i="1"/>
  <c r="A4" i="1"/>
  <c r="B4" i="1" s="1"/>
  <c r="B6" i="1" s="1"/>
  <c r="B8" i="1" s="1"/>
</calcChain>
</file>

<file path=xl/sharedStrings.xml><?xml version="1.0" encoding="utf-8"?>
<sst xmlns="http://schemas.openxmlformats.org/spreadsheetml/2006/main" count="13" uniqueCount="13">
  <si>
    <t>Houses /year</t>
  </si>
  <si>
    <t xml:space="preserve">No. of Houses </t>
  </si>
  <si>
    <t>Mgmt fees</t>
  </si>
  <si>
    <t>Trns fee</t>
  </si>
  <si>
    <t>Total Mgmt fees</t>
  </si>
  <si>
    <t>No. of fractional owners</t>
  </si>
  <si>
    <t>Amount per transaction</t>
  </si>
  <si>
    <t>Rent per House per year</t>
  </si>
  <si>
    <t>Mgmt fee per house per year</t>
  </si>
  <si>
    <t>Total Revenue</t>
  </si>
  <si>
    <t>Trns Revenue per Year</t>
  </si>
  <si>
    <t>No. of transactions for all user per year</t>
  </si>
  <si>
    <t>no. of transaction per person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</si>
</sst>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10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72B0-A223-954D-BCD9-1297CE7AAB0C}">
  <dimension ref="A2:E27"/>
  <sheetViews>
    <sheetView tabSelected="1" workbookViewId="0">
      <selection activeCell="E19" sqref="E19"/>
    </sheetView>
  </sheetViews>
  <sheetFormatPr baseColWidth="10" defaultRowHeight="16" x14ac:dyDescent="0.2"/>
  <cols>
    <col min="1" max="1" width="23.83203125" bestFit="1" customWidth="1"/>
  </cols>
  <sheetData>
    <row r="2" spans="1:5" x14ac:dyDescent="0.2">
      <c r="A2">
        <v>450000</v>
      </c>
    </row>
    <row r="3" spans="1:5" x14ac:dyDescent="0.2">
      <c r="A3">
        <v>3000</v>
      </c>
      <c r="B3">
        <f>A3*12</f>
        <v>36000</v>
      </c>
    </row>
    <row r="4" spans="1:5" x14ac:dyDescent="0.2">
      <c r="A4">
        <f>0.1*A3</f>
        <v>300</v>
      </c>
      <c r="B4">
        <f>A4*12</f>
        <v>3600</v>
      </c>
    </row>
    <row r="5" spans="1:5" x14ac:dyDescent="0.2">
      <c r="A5" t="s">
        <v>0</v>
      </c>
      <c r="B5">
        <v>170</v>
      </c>
      <c r="C5">
        <v>230</v>
      </c>
      <c r="D5">
        <f>24*C5</f>
        <v>5520</v>
      </c>
    </row>
    <row r="6" spans="1:5" x14ac:dyDescent="0.2">
      <c r="B6">
        <f>B4*B5</f>
        <v>612000</v>
      </c>
      <c r="C6">
        <v>3000000</v>
      </c>
      <c r="D6">
        <f>C6/D5</f>
        <v>543.47826086956525</v>
      </c>
      <c r="E6">
        <f>D6/0.035</f>
        <v>15527.950310559005</v>
      </c>
    </row>
    <row r="8" spans="1:5" x14ac:dyDescent="0.2">
      <c r="B8">
        <f>B6+C6</f>
        <v>3612000</v>
      </c>
    </row>
    <row r="14" spans="1:5" x14ac:dyDescent="0.2">
      <c r="A14" s="1"/>
      <c r="B14" s="1" t="s">
        <v>1</v>
      </c>
    </row>
    <row r="15" spans="1:5" x14ac:dyDescent="0.2">
      <c r="A15" s="1"/>
      <c r="B15" s="1">
        <v>170</v>
      </c>
    </row>
    <row r="16" spans="1:5" x14ac:dyDescent="0.2">
      <c r="A16" s="1" t="s">
        <v>7</v>
      </c>
      <c r="B16" s="1">
        <v>36000</v>
      </c>
    </row>
    <row r="17" spans="1:2" x14ac:dyDescent="0.2">
      <c r="A17" s="1" t="s">
        <v>8</v>
      </c>
      <c r="B17" s="1">
        <f>B16*B18</f>
        <v>3600</v>
      </c>
    </row>
    <row r="18" spans="1:2" x14ac:dyDescent="0.2">
      <c r="A18" s="1" t="s">
        <v>2</v>
      </c>
      <c r="B18" s="2">
        <v>0.1</v>
      </c>
    </row>
    <row r="19" spans="1:2" ht="34" x14ac:dyDescent="0.2">
      <c r="A19" s="5" t="s">
        <v>12</v>
      </c>
      <c r="B19" s="1">
        <v>24</v>
      </c>
    </row>
    <row r="20" spans="1:2" x14ac:dyDescent="0.2">
      <c r="A20" s="1" t="s">
        <v>4</v>
      </c>
      <c r="B20" s="3">
        <f>B17*B15</f>
        <v>612000</v>
      </c>
    </row>
    <row r="21" spans="1:2" x14ac:dyDescent="0.2">
      <c r="A21" s="1" t="s">
        <v>3</v>
      </c>
      <c r="B21" s="4">
        <v>3.5000000000000003E-2</v>
      </c>
    </row>
    <row r="22" spans="1:2" x14ac:dyDescent="0.2">
      <c r="A22" s="1" t="s">
        <v>5</v>
      </c>
      <c r="B22" s="1">
        <v>230</v>
      </c>
    </row>
    <row r="23" spans="1:2" ht="34" x14ac:dyDescent="0.2">
      <c r="A23" s="5" t="s">
        <v>11</v>
      </c>
      <c r="B23" s="1">
        <f>B19*B22</f>
        <v>5520</v>
      </c>
    </row>
    <row r="24" spans="1:2" x14ac:dyDescent="0.2">
      <c r="A24" s="1" t="s">
        <v>6</v>
      </c>
      <c r="B24" s="1">
        <v>15500</v>
      </c>
    </row>
    <row r="25" spans="1:2" x14ac:dyDescent="0.2">
      <c r="A25" s="1" t="s">
        <v>10</v>
      </c>
      <c r="B25" s="3">
        <f>B18*B24*B23</f>
        <v>8556000</v>
      </c>
    </row>
    <row r="26" spans="1:2" x14ac:dyDescent="0.2">
      <c r="A26" s="1"/>
      <c r="B26" s="1"/>
    </row>
    <row r="27" spans="1:2" x14ac:dyDescent="0.2">
      <c r="A27" s="1" t="s">
        <v>9</v>
      </c>
      <c r="B27" s="1">
        <f>B25+B20</f>
        <v>9168000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Rane</dc:creator>
  <cp:lastModifiedBy>Prasad Rane</cp:lastModifiedBy>
  <dcterms:created xsi:type="dcterms:W3CDTF">2026-02-06T01:45:38Z</dcterms:created>
  <dcterms:modified xsi:type="dcterms:W3CDTF">2026-02-07T23:22:43Z</dcterms:modified>
</cp:coreProperties>
</file>